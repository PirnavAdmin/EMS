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6D1FBBC7-C3DE-4C11-A23C-179051BB963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BankAccountNumber" localSheetId="0">Sheet1!$D$2</definedName>
    <definedName name="BankName" localSheetId="0">Sheet1!$D$3</definedName>
    <definedName name="Basic" localSheetId="0">Sheet1!$B$10</definedName>
    <definedName name="CandidateName" localSheetId="0">Sheet1!$B$2</definedName>
    <definedName name="ConveyanceAllowance" localSheetId="0">Sheet1!$B$12</definedName>
    <definedName name="Department" localSheetId="0">Sheet1!$B$5</definedName>
    <definedName name="EmployeeID" localSheetId="0">Sheet1!$B$3</definedName>
    <definedName name="HRA" localSheetId="0">Sheet1!$B$11</definedName>
    <definedName name="InWords" localSheetId="0">Sheet1!$B$20</definedName>
    <definedName name="JoiningDate" localSheetId="0">Sheet1!$B$6</definedName>
    <definedName name="Location" localSheetId="0">Sheet1!$B$8</definedName>
    <definedName name="LOP" localSheetId="0">Sheet1!$D$7</definedName>
    <definedName name="Medical" localSheetId="0">Sheet1!$B$13</definedName>
    <definedName name="NetSalary" localSheetId="0">Sheet1!$B$18</definedName>
    <definedName name="OtherDeduction" localSheetId="0">Sheet1!$D$12</definedName>
    <definedName name="PaidDays" localSheetId="0">Sheet1!$D$8</definedName>
    <definedName name="PAN" localSheetId="0">Sheet1!$B$7</definedName>
    <definedName name="PF" localSheetId="0">Sheet1!$D$5</definedName>
    <definedName name="PFAmount" localSheetId="0">Sheet1!$D$11</definedName>
    <definedName name="Position" localSheetId="0">Sheet1!$B$4</definedName>
    <definedName name="ProfessionalTax" localSheetId="0">Sheet1!$D$10</definedName>
    <definedName name="Special" localSheetId="0">Sheet1!$B$14</definedName>
    <definedName name="TotalDeduction" localSheetId="0">Sheet1!$D$17</definedName>
    <definedName name="TotalEarnings" localSheetId="0">Sheet1!$B$17</definedName>
    <definedName name="TotalWorkingDays" localSheetId="0">Sheet1!$D$6</definedName>
    <definedName name="UAN" localSheetId="0">Sheet1!$D$4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" l="1"/>
  <c r="B18" i="1"/>
  <c r="D17" i="1"/>
  <c r="D11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<sst xmlns="http://schemas.openxmlformats.org/spreadsheetml/2006/main" count="46" uniqueCount="31">
  <si>
    <t>Employee Name</t>
  </si>
  <si>
    <t>xx</t>
  </si>
  <si>
    <t>Bank Account Number</t>
  </si>
  <si>
    <t>Employee Code</t>
  </si>
  <si>
    <t>Bank Name</t>
  </si>
  <si>
    <t>Designation</t>
  </si>
  <si>
    <t>UAN Number</t>
  </si>
  <si>
    <t>Department</t>
  </si>
  <si>
    <t>PF Account Number</t>
  </si>
  <si>
    <t>Date of Joining</t>
  </si>
  <si>
    <t>Total Working Days</t>
  </si>
  <si>
    <t>PAN Card</t>
  </si>
  <si>
    <t>LOP Days</t>
  </si>
  <si>
    <t>Work location</t>
  </si>
  <si>
    <t>Paid Days</t>
  </si>
  <si>
    <t>EARNINGS</t>
  </si>
  <si>
    <t>AMOUNT</t>
  </si>
  <si>
    <t>DEDUCTIONS</t>
  </si>
  <si>
    <t>Basic</t>
  </si>
  <si>
    <t>Professional Tax</t>
  </si>
  <si>
    <t>HRA</t>
  </si>
  <si>
    <t>PF</t>
  </si>
  <si>
    <t>Conveyance Allowance</t>
  </si>
  <si>
    <t>Other Deductions</t>
  </si>
  <si>
    <t>Medical</t>
  </si>
  <si>
    <t>Special Allowance</t>
  </si>
  <si>
    <t>TOTAL EARNINGS</t>
  </si>
  <si>
    <t>TOTAL DEDUCTIONS</t>
  </si>
  <si>
    <t>CURRENT MONTH NET SALARY</t>
  </si>
  <si>
    <t>IN WORDS</t>
  </si>
  <si>
    <r>
      <rPr>
        <sz val="11"/>
        <rFont val="Calibri"/>
        <family val="2"/>
      </rPr>
      <t xml:space="preserve">           </t>
    </r>
    <r>
      <rPr>
        <b/>
        <sz val="11"/>
        <color indexed="21"/>
        <rFont val="Calibri"/>
        <family val="2"/>
      </rPr>
      <t>PIRNAV SOFTWARE SOLUTIONS PRIVATE LIMITED</t>
    </r>
    <r>
      <rPr>
        <sz val="11"/>
        <rFont val="Calibri"/>
        <family val="2"/>
      </rPr>
      <t xml:space="preserve">                     
                                 4th Floor, Jain Sadguru Images Capital Park, Madhapur, Hyderabad - 500081.
</t>
    </r>
    <r>
      <rPr>
        <b/>
        <sz val="11"/>
        <rFont val="Calibri"/>
        <family val="2"/>
      </rPr>
      <t xml:space="preserve">        PAY SLIP FOR THE MONTH xx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</si>
</sst>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indexed="21"/>
      <name val="Calibri"/>
      <family val="2"/>
    </font>
    <font>
      <b/>
      <sz val="11"/>
      <name val="Calibri"/>
      <family val="2"/>
    </font>
    <font>
      <sz val="1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4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2" borderId="2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0" fillId="0" borderId="4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23813</xdr:colOff>
      <xdr:row>0</xdr:row>
      <xdr:rowOff>295274</xdr:rowOff>
    </xdr:from>
    <xdr:to>
      <xdr:col>0</xdr:col>
      <xdr:colOff>1988345</xdr:colOff>
      <xdr:row>0</xdr:row>
      <xdr:rowOff>666749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F13069-D088-4201-AC7C-1684CEF7C9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13" y="295274"/>
          <a:ext cx="1964532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tabSelected="1" workbookViewId="0">
      <selection activeCell="H12" sqref="H12"/>
    </sheetView>
  </sheetViews>
  <sheetFormatPr defaultRowHeight="14.5" x14ac:dyDescent="0.35"/>
  <cols>
    <col min="1" max="4" width="34.81640625" customWidth="1"/>
  </cols>
  <sheetData>
    <row r="1" spans="1:4" ht="66.75" customHeight="1" thickBot="1" x14ac:dyDescent="0.55000000000000004">
      <c r="A1" s="6" t="s">
        <v>30</v>
      </c>
      <c r="B1" s="7"/>
      <c r="C1" s="7"/>
      <c r="D1" s="8"/>
    </row>
    <row r="2" spans="1:4" ht="15.5" thickTop="1" thickBot="1" x14ac:dyDescent="0.4">
      <c r="A2" s="1" t="s">
        <v>0</v>
      </c>
      <c r="B2" s="2" t="s">
        <v>1</v>
      </c>
      <c r="C2" s="1" t="s">
        <v>2</v>
      </c>
      <c r="D2" s="2" t="s">
        <v>1</v>
      </c>
    </row>
    <row r="3" spans="1:4" ht="15.5" thickTop="1" thickBot="1" x14ac:dyDescent="0.4">
      <c r="A3" s="1" t="s">
        <v>3</v>
      </c>
      <c r="B3" s="2" t="s">
        <v>1</v>
      </c>
      <c r="C3" s="1" t="s">
        <v>4</v>
      </c>
      <c r="D3" s="2" t="s">
        <v>1</v>
      </c>
    </row>
    <row r="4" spans="1:4" ht="15.5" thickTop="1" thickBot="1" x14ac:dyDescent="0.4">
      <c r="A4" s="1" t="s">
        <v>5</v>
      </c>
      <c r="B4" s="2" t="s">
        <v>1</v>
      </c>
      <c r="C4" s="1" t="s">
        <v>6</v>
      </c>
      <c r="D4" s="2" t="s">
        <v>1</v>
      </c>
    </row>
    <row r="5" spans="1:4" ht="15.5" thickTop="1" thickBot="1" x14ac:dyDescent="0.4">
      <c r="A5" s="1" t="s">
        <v>7</v>
      </c>
      <c r="B5" s="2" t="s">
        <v>1</v>
      </c>
      <c r="C5" s="1" t="s">
        <v>8</v>
      </c>
      <c r="D5" s="2" t="s">
        <v>1</v>
      </c>
    </row>
    <row r="6" spans="1:4" ht="15.5" thickTop="1" thickBot="1" x14ac:dyDescent="0.4">
      <c r="A6" s="1" t="s">
        <v>9</v>
      </c>
      <c r="B6" s="2" t="s">
        <v>1</v>
      </c>
      <c r="C6" s="1" t="s">
        <v>10</v>
      </c>
      <c r="D6" s="2" t="s">
        <v>1</v>
      </c>
    </row>
    <row r="7" spans="1:4" ht="15.5" thickTop="1" thickBot="1" x14ac:dyDescent="0.4">
      <c r="A7" s="1" t="s">
        <v>11</v>
      </c>
      <c r="B7" s="2" t="s">
        <v>1</v>
      </c>
      <c r="C7" s="1" t="s">
        <v>12</v>
      </c>
      <c r="D7" s="2" t="s">
        <v>1</v>
      </c>
    </row>
    <row r="8" spans="1:4" ht="15.5" thickTop="1" thickBot="1" x14ac:dyDescent="0.4">
      <c r="A8" s="1" t="s">
        <v>13</v>
      </c>
      <c r="B8" s="2" t="s">
        <v>1</v>
      </c>
      <c r="C8" s="1" t="s">
        <v>14</v>
      </c>
      <c r="D8" s="2" t="s">
        <v>1</v>
      </c>
    </row>
    <row r="9" spans="1:4" ht="15.5" thickTop="1" thickBot="1" x14ac:dyDescent="0.4">
      <c r="A9" s="3" t="s">
        <v>15</v>
      </c>
      <c r="B9" s="3" t="s">
        <v>16</v>
      </c>
      <c r="C9" s="3" t="s">
        <v>17</v>
      </c>
      <c r="D9" s="3" t="s">
        <v>16</v>
      </c>
    </row>
    <row r="10" spans="1:4" ht="15.5" thickTop="1" thickBot="1" x14ac:dyDescent="0.4">
      <c r="A10" s="2" t="s">
        <v>18</v>
      </c>
      <c r="B10" s="2" t="e">
        <f>ROUND((B19/D6)*D8*40%,0)</f>
        <v>#VALUE!</v>
      </c>
      <c r="C10" s="2" t="s">
        <v>19</v>
      </c>
      <c r="D10" s="2">
        <v>200</v>
      </c>
    </row>
    <row r="11" spans="1:4" ht="15.5" thickTop="1" thickBot="1" x14ac:dyDescent="0.4">
      <c r="A11" s="2" t="s">
        <v>20</v>
      </c>
      <c r="B11" s="2" t="e">
        <f>ROUND(B10*40%,0)</f>
        <v>#VALUE!</v>
      </c>
      <c r="C11" s="2" t="s">
        <v>21</v>
      </c>
      <c r="D11" s="2" t="e">
        <f>ROUND(B10*12%,0)</f>
        <v>#VALUE!</v>
      </c>
    </row>
    <row r="12" spans="1:4" ht="15.5" thickTop="1" thickBot="1" x14ac:dyDescent="0.4">
      <c r="A12" s="2" t="s">
        <v>22</v>
      </c>
      <c r="B12" s="2" t="e">
        <f>(1600/D6)*D8</f>
        <v>#VALUE!</v>
      </c>
      <c r="C12" s="2" t="s">
        <v>23</v>
      </c>
      <c r="D12" s="2">
        <v>0</v>
      </c>
    </row>
    <row r="13" spans="1:4" ht="15.5" thickTop="1" thickBot="1" x14ac:dyDescent="0.4">
      <c r="A13" s="2" t="s">
        <v>24</v>
      </c>
      <c r="B13" s="2" t="e">
        <f>(1250/D6)*D8</f>
        <v>#VALUE!</v>
      </c>
      <c r="C13" s="2"/>
      <c r="D13" s="2"/>
    </row>
    <row r="14" spans="1:4" ht="15.5" thickTop="1" thickBot="1" x14ac:dyDescent="0.4">
      <c r="A14" s="2" t="s">
        <v>25</v>
      </c>
      <c r="B14" s="2" t="e">
        <f>(B19/D6)*D8-SUM(B10:B13)</f>
        <v>#VALUE!</v>
      </c>
      <c r="C14" s="2"/>
      <c r="D14" s="2"/>
    </row>
    <row r="15" spans="1:4" ht="15.5" thickTop="1" thickBot="1" x14ac:dyDescent="0.4">
      <c r="A15" s="4"/>
      <c r="B15" s="4"/>
      <c r="C15" s="4"/>
      <c r="D15" s="4"/>
    </row>
    <row r="16" spans="1:4" ht="15.5" thickTop="1" thickBot="1" x14ac:dyDescent="0.4">
      <c r="A16" s="4"/>
      <c r="B16" s="4"/>
      <c r="C16" s="4"/>
      <c r="D16" s="4"/>
    </row>
    <row r="17" spans="1:4" ht="15.5" thickTop="1" thickBot="1" x14ac:dyDescent="0.4">
      <c r="A17" s="5" t="s">
        <v>26</v>
      </c>
      <c r="B17" s="4" t="e">
        <f>SUM(B10:B16)</f>
        <v>#VALUE!</v>
      </c>
      <c r="C17" s="5" t="s">
        <v>27</v>
      </c>
      <c r="D17" s="4" t="e">
        <f>SUM(D10:D16)</f>
        <v>#VALUE!</v>
      </c>
    </row>
    <row r="18" spans="1:4" ht="15.5" thickTop="1" thickBot="1" x14ac:dyDescent="0.4">
      <c r="A18" s="5" t="s">
        <v>28</v>
      </c>
      <c r="B18" s="9" t="e">
        <f>ROUNDUP(B17-D17,0)</f>
        <v>#VALUE!</v>
      </c>
      <c r="C18" s="9"/>
      <c r="D18" s="9"/>
    </row>
    <row r="19" spans="1:4" ht="15.5" thickTop="1" thickBot="1" x14ac:dyDescent="0.4">
      <c r="A19" s="5"/>
      <c r="B19" s="4"/>
      <c r="C19" s="4"/>
      <c r="D19" s="4"/>
    </row>
    <row r="20" spans="1:4" ht="15.5" thickTop="1" thickBot="1" x14ac:dyDescent="0.4">
      <c r="A20" s="5" t="s">
        <v>29</v>
      </c>
      <c r="B20" s="9" t="s">
        <v>1</v>
      </c>
      <c r="C20" s="9"/>
      <c r="D20" s="9"/>
    </row>
    <row r="21" spans="1:4" ht="15" thickTop="1" x14ac:dyDescent="0.35"/>
  </sheetData>
  <mergeCells count="3">
    <mergeCell ref="A1:D1"/>
    <mergeCell ref="B18:D18"/>
    <mergeCell ref="B20:D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26</vt:i4>
      </vt:variant>
    </vt:vector>
  </HeadingPairs>
  <TitlesOfParts>
    <vt:vector size="27" baseType="lpstr">
      <vt:lpstr>Sheet1</vt:lpstr>
      <vt:lpstr>Sheet1!BankAccountNumber</vt:lpstr>
      <vt:lpstr>Sheet1!BankName</vt:lpstr>
      <vt:lpstr>Sheet1!Basic</vt:lpstr>
      <vt:lpstr>Sheet1!CandidateName</vt:lpstr>
      <vt:lpstr>Sheet1!ConveyanceAllowance</vt:lpstr>
      <vt:lpstr>Sheet1!Department</vt:lpstr>
      <vt:lpstr>Sheet1!EmployeeID</vt:lpstr>
      <vt:lpstr>Sheet1!HRA</vt:lpstr>
      <vt:lpstr>Sheet1!InWords</vt:lpstr>
      <vt:lpstr>Sheet1!JoiningDate</vt:lpstr>
      <vt:lpstr>Sheet1!Location</vt:lpstr>
      <vt:lpstr>Sheet1!LOP</vt:lpstr>
      <vt:lpstr>Sheet1!Medical</vt:lpstr>
      <vt:lpstr>Sheet1!NetSalary</vt:lpstr>
      <vt:lpstr>Sheet1!OtherDeduction</vt:lpstr>
      <vt:lpstr>Sheet1!PaidDays</vt:lpstr>
      <vt:lpstr>Sheet1!PAN</vt:lpstr>
      <vt:lpstr>Sheet1!PF</vt:lpstr>
      <vt:lpstr>Sheet1!PFAmount</vt:lpstr>
      <vt:lpstr>Sheet1!Position</vt:lpstr>
      <vt:lpstr>Sheet1!ProfessionalTax</vt:lpstr>
      <vt:lpstr>Sheet1!Special</vt:lpstr>
      <vt:lpstr>Sheet1!TotalDeduction</vt:lpstr>
      <vt:lpstr>Sheet1!TotalEarnings</vt:lpstr>
      <vt:lpstr>Sheet1!TotalWorkingDays</vt:lpstr>
      <vt:lpstr>Sheet1!UAN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 Ram Kashyap</dc:creator>
  <cp:lastModifiedBy>G Sunil</cp:lastModifiedBy>
  <dcterms:created xsi:type="dcterms:W3CDTF">2015-06-05T18:17:20Z</dcterms:created>
  <dcterms:modified xsi:type="dcterms:W3CDTF">2026-03-03T10:30:26Z</dcterms:modified>
</cp:coreProperties>
</file>